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efrei365net.sharepoint.com/sites/Directiondestudes-PEx-1.Programmes/Documents partages/01. Programmes/4. Titres &amp; diplômes/EFREI/Niveau 7 - 40875 Expert en Ingénierie des données (renouvellement)/Grilles d'évaluation/"/>
    </mc:Choice>
  </mc:AlternateContent>
  <xr:revisionPtr revIDLastSave="393" documentId="13_ncr:1_{17833649-812F-AA49-9E78-E6DF54ED7BA3}" xr6:coauthVersionLast="47" xr6:coauthVersionMax="47" xr10:uidLastSave="{8F306660-B170-AC4C-BE74-F1E53AA4014A}"/>
  <bookViews>
    <workbookView xWindow="0" yWindow="500" windowWidth="33600" windowHeight="20500" xr2:uid="{21FD510D-88BC-A844-A150-B0874D4F7F83}"/>
  </bookViews>
  <sheets>
    <sheet name="Bloc 1" sheetId="2" r:id="rId1"/>
    <sheet name="Feuil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F27" i="2"/>
  <c r="E41" i="2"/>
  <c r="F41" i="2" s="1"/>
  <c r="E39" i="2"/>
  <c r="F39" i="2" s="1"/>
  <c r="E34" i="2"/>
  <c r="F34" i="2" s="1"/>
  <c r="E31" i="2"/>
  <c r="F31" i="2" s="1"/>
  <c r="E26" i="2"/>
  <c r="F26" i="2" s="1"/>
  <c r="E24" i="2"/>
  <c r="F24" i="2" s="1"/>
  <c r="E21" i="2"/>
  <c r="F21" i="2" s="1"/>
  <c r="E17" i="2"/>
  <c r="F17" i="2" s="1"/>
</calcChain>
</file>

<file path=xl/sharedStrings.xml><?xml version="1.0" encoding="utf-8"?>
<sst xmlns="http://schemas.openxmlformats.org/spreadsheetml/2006/main" count="58" uniqueCount="57">
  <si>
    <t>Bloc</t>
  </si>
  <si>
    <t>Compétence</t>
  </si>
  <si>
    <t>Critères d'évaluation</t>
  </si>
  <si>
    <t>Résultat</t>
  </si>
  <si>
    <t>Niveau d'acquisition (si acquis)</t>
  </si>
  <si>
    <t>Observation (obligatoire si non acquis)</t>
  </si>
  <si>
    <t>Bloc 1 : Construire/superviser et développer une architecture de données</t>
  </si>
  <si>
    <t>C1.1 Concevoir et développer une base de données relationnelle universellement accessible en réponse aux besoins d’un client/d’une gouvernance</t>
  </si>
  <si>
    <t xml:space="preserve">Le modèle relationnel répond précisément au besoin exprimé par le client/la gouvernance </t>
  </si>
  <si>
    <t xml:space="preserve">Les technologies et langages de requêtes mobilisés, en collaboration avec l’architecte de données, sont appropriés au projet </t>
  </si>
  <si>
    <t xml:space="preserve">La base respecte les principes de normalisation et garantit l'intégrité des données </t>
  </si>
  <si>
    <t>Des tests de charge sont réalisés confirmant l’intégrité et la performance de la base de données.</t>
  </si>
  <si>
    <t>C1.2 Concevoir et développer une base de données non-relationnelle universellement accessible permettant la mise à disposition des données semi-structurées et non structurées</t>
  </si>
  <si>
    <t>Le choix des technologies NoSQL est justifié en fonction des types de données et des besoins analytiques.</t>
  </si>
  <si>
    <t>La base de données permet une gestion efficace des données semi- structurées et non structurées.</t>
  </si>
  <si>
    <t>C1.3. Concevoir et construire un lac de données (Data Lake) universellement accessible tenant compte des contraintes et des règlements de sécurité et de protection des données en vigueur</t>
  </si>
  <si>
    <t xml:space="preserve">L’architecture choisie répond aux exigences d’intégration des données multivariées </t>
  </si>
  <si>
    <t>Les indicateurs de performance (latence, capacité, vitesse) sont définis et suivis</t>
  </si>
  <si>
    <t>Les solutions respectent les contraintes de sécurité et de protection des données en concertation avec la gouvernance des données de l’organisation.</t>
  </si>
  <si>
    <t>C1.4. Architecturer des infrastructures scalables et résilientes</t>
  </si>
  <si>
    <t>Les systèmes de haute disponibilité choisis garantissent la continuité des opérations et sont concertés avec l’architecte d’infrastructures de l’organisation</t>
  </si>
  <si>
    <t>L’architecture répond aux besoins de scalabilité pour accompagner la croissance</t>
  </si>
  <si>
    <t>Les contraintes de résilience face aux pannes sont prises en compte et testées.</t>
  </si>
  <si>
    <t>C2.1 Créer une API en utilisant les technologies permettant de rendre accessibles les données et facilitant la communication entre divers services informatiques</t>
  </si>
  <si>
    <t>Les technologies utilisées pour créer l’API sont appropriées</t>
  </si>
  <si>
    <t xml:space="preserve">L’architecture déployée rends accessible les données </t>
  </si>
  <si>
    <t>Le niveau de complexité de l’API est adapté aux données à traiter ;</t>
  </si>
  <si>
    <t xml:space="preserve">Les mécanismes d’authentification sont déployés </t>
  </si>
  <si>
    <t>Les autorisations et les quotas imposés aux utilisateurs de l’API sont faciles à comprendre et à intégrer.</t>
  </si>
  <si>
    <t>C2.2 Implémenter un système distribué en utilisant des technologies de streaming</t>
  </si>
  <si>
    <t>Une veille technologique permet d’identifier et mobiliser les solutions de streaming adaptées</t>
  </si>
  <si>
    <t>La solution proposée permet de traiter (en micro batch) et d’analyser l’ensemble de données collectées sur une période donnée (en secondes ou millisecondes)</t>
  </si>
  <si>
    <t xml:space="preserve">La solution proposée permet de traiter (en temps réel) et d’analyser l’ensemble de données au fur et à mesure de leur disponibilité </t>
  </si>
  <si>
    <t>L'implémentation est réalisée conformément avec les équipes métiers et techniques</t>
  </si>
  <si>
    <t>C2.3 Transformer les données provenant de
différentes sources</t>
  </si>
  <si>
    <t>Les outils d’intégration mobilisés permettent de transformer et formater les données conformément aux besoins métiers.</t>
  </si>
  <si>
    <t>L’intégration des données provenant de sources variées est réalisée de manière fluide et cohérente.</t>
  </si>
  <si>
    <t>Les données transformées sont structurées de manière à faciliter leur exploitation pour des analyses multidimensionnelles et à grande échelle</t>
  </si>
  <si>
    <t>C2.4 Optimiser la performance des pipelines</t>
  </si>
  <si>
    <t>Les techniques d’intégration et de mise en scène permettent d’atteindre les objectifs de performance.</t>
  </si>
  <si>
    <t>Les pipelines développés permettent d’intégrer des sources de données provenant de différentes sources</t>
  </si>
  <si>
    <t>Les pipelines développés permettent un accès rapide aux données</t>
  </si>
  <si>
    <t>Les indicateurs mis en place permettent de mesurer la performance de transfert de données</t>
  </si>
  <si>
    <t>La qualité des données traitées garantit des analyses exploitables.</t>
  </si>
  <si>
    <t>Oui</t>
  </si>
  <si>
    <t>Non</t>
  </si>
  <si>
    <t>Démontré 
(1 = oui / 0 = non)</t>
  </si>
  <si>
    <t>Score</t>
  </si>
  <si>
    <t>Débutant</t>
  </si>
  <si>
    <t>Intermédiaire</t>
  </si>
  <si>
    <t>Avancé</t>
  </si>
  <si>
    <t>Appréciation globale sur 20 :</t>
  </si>
  <si>
    <t xml:space="preserve">Commentaire du jury : </t>
  </si>
  <si>
    <t>* Une note de 10/20 signifie que l'ensemble des compétences a été validé</t>
  </si>
  <si>
    <t>RNCP40875- Expert en Ingénierie des données</t>
  </si>
  <si>
    <t xml:space="preserve">Grille d'évaluation </t>
  </si>
  <si>
    <t>Projet Data - Développement d'une Architecture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</si>
</sst>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6"/>
      <color theme="0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1"/>
      <name val="Aptos Narrow (Corps)"/>
    </font>
    <font>
      <i/>
      <sz val="16"/>
      <color theme="1"/>
      <name val="Aptos Narrow"/>
      <scheme val="minor"/>
    </font>
    <font>
      <sz val="18"/>
      <color theme="1"/>
      <name val="Aptos Narrow"/>
      <family val="2"/>
      <scheme val="minor"/>
    </font>
    <font>
      <b/>
      <sz val="18"/>
      <color theme="4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310443</xdr:colOff>
      <xdr:row>1</xdr:row>
      <xdr:rowOff>42333</xdr:rowOff>
    </xdr:from>
    <xdr:to>
      <xdr:col>1</xdr:col>
      <xdr:colOff>3255818</xdr:colOff>
      <xdr:row>6</xdr:row>
      <xdr:rowOff>219238</xdr:rowOff>
    </xdr:to>
    <xdr:pic>
      <xdr:nvPicPr>
        <xdr:cNvPr id="2" name="Image 1" descr="Une image contenant Police, logo, symbole, conception&#10;&#10;Description générée automatiquement">
          <a:extLst>
            <a:ext uri="{FF2B5EF4-FFF2-40B4-BE49-F238E27FC236}">
              <a16:creationId xmlns:a16="http://schemas.microsoft.com/office/drawing/2014/main" id="{23B9CFFF-2FEE-9FE9-CEEE-AAC361B8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43" y="250151"/>
          <a:ext cx="3788193" cy="1285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4544-BD7A-C447-B93B-89B3BB7F6102}">
  <dimension ref="A6:H55"/>
  <sheetViews>
    <sheetView tabSelected="1" topLeftCell="A16" zoomScale="110" zoomScaleNormal="110" workbookViewId="0">
      <selection activeCell="F8" sqref="F8"/>
    </sheetView>
  </sheetViews>
  <sheetFormatPr baseColWidth="10" defaultColWidth="11" defaultRowHeight="16" x14ac:dyDescent="0.2"/>
  <cols>
    <col min="2" max="2" width="49.6640625" style="6" customWidth="1"/>
    <col min="3" max="3" width="70.33203125" style="5" customWidth="1"/>
    <col min="4" max="4" width="22.1640625" style="1" customWidth="1"/>
    <col min="5" max="5" width="13.6640625" style="1" customWidth="1"/>
    <col min="6" max="6" width="15.6640625" style="1" customWidth="1"/>
    <col min="7" max="7" width="22.1640625" style="1" customWidth="1"/>
    <col min="8" max="8" width="50.5" style="1" customWidth="1"/>
  </cols>
  <sheetData>
    <row r="6" spans="1:8" ht="22" x14ac:dyDescent="0.2">
      <c r="C6" s="56"/>
    </row>
    <row r="7" spans="1:8" ht="23" x14ac:dyDescent="0.3">
      <c r="C7" s="57" t="s">
        <v>54</v>
      </c>
    </row>
    <row r="8" spans="1:8" ht="22" x14ac:dyDescent="0.3">
      <c r="C8" s="57"/>
    </row>
    <row r="9" spans="1:8" ht="23" x14ac:dyDescent="0.3">
      <c r="C9" s="57" t="s">
        <v>55</v>
      </c>
    </row>
    <row r="12" spans="1:8" ht="24" x14ac:dyDescent="0.2">
      <c r="C12" s="55" t="s">
        <v>56</v>
      </c>
    </row>
    <row r="16" spans="1:8" s="13" customFormat="1" ht="62" customHeight="1" thickBot="1" x14ac:dyDescent="0.3">
      <c r="A16" s="10" t="s">
        <v>0</v>
      </c>
      <c r="B16" s="11" t="s">
        <v>1</v>
      </c>
      <c r="C16" s="12" t="s">
        <v>2</v>
      </c>
      <c r="D16" s="11" t="s">
        <v>46</v>
      </c>
      <c r="E16" s="11" t="s">
        <v>47</v>
      </c>
      <c r="F16" s="11" t="s">
        <v>3</v>
      </c>
      <c r="G16" s="11" t="s">
        <v>4</v>
      </c>
      <c r="H16" s="12" t="s">
        <v>5</v>
      </c>
    </row>
    <row r="17" spans="1:8" ht="34" x14ac:dyDescent="0.2">
      <c r="A17" s="17" t="s">
        <v>6</v>
      </c>
      <c r="B17" s="18" t="s">
        <v>7</v>
      </c>
      <c r="C17" s="7" t="s">
        <v>8</v>
      </c>
      <c r="D17" s="30">
        <v>1</v>
      </c>
      <c r="E17" s="31">
        <f>SUM(D17:D20)</f>
        <v>2</v>
      </c>
      <c r="F17" s="31" t="str">
        <f>IF(E17&gt;=2, "Acquis", "Non acquis")</f>
        <v>Acquis</v>
      </c>
      <c r="G17" s="31" t="s">
        <v>50</v>
      </c>
      <c r="H17" s="28"/>
    </row>
    <row r="18" spans="1:8" ht="34" x14ac:dyDescent="0.2">
      <c r="A18" s="17"/>
      <c r="B18" s="19"/>
      <c r="C18" s="8" t="s">
        <v>9</v>
      </c>
      <c r="D18" s="14">
        <v>0</v>
      </c>
      <c r="E18" s="25"/>
      <c r="F18" s="25"/>
      <c r="G18" s="25"/>
      <c r="H18" s="24"/>
    </row>
    <row r="19" spans="1:8" ht="27" customHeight="1" x14ac:dyDescent="0.2">
      <c r="A19" s="17"/>
      <c r="B19" s="19"/>
      <c r="C19" s="8" t="s">
        <v>10</v>
      </c>
      <c r="D19" s="14">
        <v>1</v>
      </c>
      <c r="E19" s="25"/>
      <c r="F19" s="25"/>
      <c r="G19" s="25"/>
      <c r="H19" s="24"/>
    </row>
    <row r="20" spans="1:8" ht="35" thickBot="1" x14ac:dyDescent="0.25">
      <c r="A20" s="17"/>
      <c r="B20" s="20"/>
      <c r="C20" s="9" t="s">
        <v>11</v>
      </c>
      <c r="D20" s="32">
        <v>0</v>
      </c>
      <c r="E20" s="33"/>
      <c r="F20" s="33"/>
      <c r="G20" s="33"/>
      <c r="H20" s="34"/>
    </row>
    <row r="21" spans="1:8" ht="47" customHeight="1" x14ac:dyDescent="0.2">
      <c r="A21" s="17"/>
      <c r="B21" s="21" t="s">
        <v>12</v>
      </c>
      <c r="C21" s="3" t="s">
        <v>13</v>
      </c>
      <c r="D21" s="35"/>
      <c r="E21" s="36">
        <f>SUM(D21:D22)</f>
        <v>0</v>
      </c>
      <c r="F21" s="36" t="str">
        <f>IF(E21&gt;=1,"Acquis", "Non Acquis")</f>
        <v>Non Acquis</v>
      </c>
      <c r="G21" s="36"/>
      <c r="H21" s="37"/>
    </row>
    <row r="22" spans="1:8" ht="47" customHeight="1" thickBot="1" x14ac:dyDescent="0.25">
      <c r="A22" s="17"/>
      <c r="B22" s="22"/>
      <c r="C22" s="4" t="s">
        <v>14</v>
      </c>
      <c r="D22" s="38"/>
      <c r="E22" s="39"/>
      <c r="F22" s="39"/>
      <c r="G22" s="39"/>
      <c r="H22" s="40"/>
    </row>
    <row r="23" spans="1:8" ht="47" customHeight="1" x14ac:dyDescent="0.2">
      <c r="A23" s="17"/>
      <c r="B23" s="18" t="s">
        <v>15</v>
      </c>
      <c r="C23" s="7" t="s">
        <v>16</v>
      </c>
      <c r="D23" s="30"/>
      <c r="E23" s="41"/>
      <c r="F23" s="41"/>
      <c r="G23" s="31"/>
      <c r="H23" s="28"/>
    </row>
    <row r="24" spans="1:8" ht="41" customHeight="1" x14ac:dyDescent="0.2">
      <c r="A24" s="17"/>
      <c r="B24" s="19"/>
      <c r="C24" s="8" t="s">
        <v>17</v>
      </c>
      <c r="D24" s="14"/>
      <c r="E24" s="16">
        <f>SUM(D23:D25)</f>
        <v>0</v>
      </c>
      <c r="F24" s="16" t="str">
        <f>IF(E24&gt;=2,"Acquis","Non Acquis")</f>
        <v>Non Acquis</v>
      </c>
      <c r="G24" s="25"/>
      <c r="H24" s="24"/>
    </row>
    <row r="25" spans="1:8" ht="47" customHeight="1" thickBot="1" x14ac:dyDescent="0.25">
      <c r="A25" s="17"/>
      <c r="B25" s="20"/>
      <c r="C25" s="9" t="s">
        <v>18</v>
      </c>
      <c r="D25" s="32"/>
      <c r="E25" s="42"/>
      <c r="F25" s="42"/>
      <c r="G25" s="33"/>
      <c r="H25" s="34"/>
    </row>
    <row r="26" spans="1:8" ht="47" customHeight="1" x14ac:dyDescent="0.2">
      <c r="A26" s="17"/>
      <c r="B26" s="21" t="s">
        <v>19</v>
      </c>
      <c r="C26" s="3" t="s">
        <v>20</v>
      </c>
      <c r="D26" s="35">
        <v>1</v>
      </c>
      <c r="E26" s="36">
        <f>SUM(D26:D28)</f>
        <v>2</v>
      </c>
      <c r="F26" s="36" t="str">
        <f t="shared" ref="F26:F28" si="0">IF(E26&gt;=2,"Acquis","Non Acquis")</f>
        <v>Acquis</v>
      </c>
      <c r="G26" s="36"/>
      <c r="H26" s="37"/>
    </row>
    <row r="27" spans="1:8" ht="37" customHeight="1" x14ac:dyDescent="0.2">
      <c r="A27" s="17"/>
      <c r="B27" s="26"/>
      <c r="C27" s="2" t="s">
        <v>21</v>
      </c>
      <c r="D27" s="15">
        <v>1</v>
      </c>
      <c r="E27" s="27"/>
      <c r="F27" s="27" t="str">
        <f t="shared" si="0"/>
        <v>Non Acquis</v>
      </c>
      <c r="G27" s="27"/>
      <c r="H27" s="29"/>
    </row>
    <row r="28" spans="1:8" ht="47" customHeight="1" thickBot="1" x14ac:dyDescent="0.25">
      <c r="A28" s="17"/>
      <c r="B28" s="22"/>
      <c r="C28" s="4" t="s">
        <v>22</v>
      </c>
      <c r="D28" s="38"/>
      <c r="E28" s="39"/>
      <c r="F28" s="39" t="str">
        <f t="shared" si="0"/>
        <v>Non Acquis</v>
      </c>
      <c r="G28" s="39"/>
      <c r="H28" s="40"/>
    </row>
    <row r="29" spans="1:8" ht="41" customHeight="1" x14ac:dyDescent="0.2">
      <c r="A29" s="17"/>
      <c r="B29" s="18" t="s">
        <v>23</v>
      </c>
      <c r="C29" s="7" t="s">
        <v>24</v>
      </c>
      <c r="D29" s="30"/>
      <c r="E29" s="41"/>
      <c r="F29" s="41"/>
      <c r="G29" s="31"/>
      <c r="H29" s="28"/>
    </row>
    <row r="30" spans="1:8" ht="41" customHeight="1" x14ac:dyDescent="0.2">
      <c r="A30" s="17"/>
      <c r="B30" s="19"/>
      <c r="C30" s="8" t="s">
        <v>25</v>
      </c>
      <c r="D30" s="14"/>
      <c r="E30" s="16"/>
      <c r="F30" s="16"/>
      <c r="G30" s="25"/>
      <c r="H30" s="24"/>
    </row>
    <row r="31" spans="1:8" ht="36" customHeight="1" x14ac:dyDescent="0.2">
      <c r="A31" s="17"/>
      <c r="B31" s="19"/>
      <c r="C31" s="8" t="s">
        <v>26</v>
      </c>
      <c r="D31" s="14"/>
      <c r="E31" s="16">
        <f>SUM(D29:D33)</f>
        <v>0</v>
      </c>
      <c r="F31" s="16" t="str">
        <f>IF(E31&gt;=3, "Acquis", "Non Acquis")</f>
        <v>Non Acquis</v>
      </c>
      <c r="G31" s="25"/>
      <c r="H31" s="24"/>
    </row>
    <row r="32" spans="1:8" ht="43" customHeight="1" x14ac:dyDescent="0.2">
      <c r="A32" s="17"/>
      <c r="B32" s="19"/>
      <c r="C32" s="8" t="s">
        <v>27</v>
      </c>
      <c r="D32" s="14"/>
      <c r="E32" s="16"/>
      <c r="F32" s="16"/>
      <c r="G32" s="25"/>
      <c r="H32" s="24"/>
    </row>
    <row r="33" spans="1:8" ht="47" customHeight="1" thickBot="1" x14ac:dyDescent="0.25">
      <c r="A33" s="17"/>
      <c r="B33" s="20"/>
      <c r="C33" s="9" t="s">
        <v>28</v>
      </c>
      <c r="D33" s="32"/>
      <c r="E33" s="42"/>
      <c r="F33" s="42"/>
      <c r="G33" s="33"/>
      <c r="H33" s="34"/>
    </row>
    <row r="34" spans="1:8" ht="47" customHeight="1" x14ac:dyDescent="0.2">
      <c r="A34" s="17"/>
      <c r="B34" s="21" t="s">
        <v>29</v>
      </c>
      <c r="C34" s="3" t="s">
        <v>30</v>
      </c>
      <c r="D34" s="35"/>
      <c r="E34" s="36">
        <f>SUM(D34:D37)</f>
        <v>0</v>
      </c>
      <c r="F34" s="36" t="str">
        <f>IF(E34&gt;=2,"Acquis", "Non Acquis")</f>
        <v>Non Acquis</v>
      </c>
      <c r="G34" s="43"/>
      <c r="H34" s="44"/>
    </row>
    <row r="35" spans="1:8" ht="47" customHeight="1" x14ac:dyDescent="0.2">
      <c r="A35" s="17"/>
      <c r="B35" s="26"/>
      <c r="C35" s="2" t="s">
        <v>31</v>
      </c>
      <c r="D35" s="15"/>
      <c r="E35" s="27"/>
      <c r="F35" s="27"/>
      <c r="G35" s="23"/>
      <c r="H35" s="45"/>
    </row>
    <row r="36" spans="1:8" ht="47" customHeight="1" x14ac:dyDescent="0.2">
      <c r="A36" s="17"/>
      <c r="B36" s="26"/>
      <c r="C36" s="2" t="s">
        <v>32</v>
      </c>
      <c r="D36" s="15"/>
      <c r="E36" s="27"/>
      <c r="F36" s="27"/>
      <c r="G36" s="23"/>
      <c r="H36" s="45"/>
    </row>
    <row r="37" spans="1:8" ht="47" customHeight="1" thickBot="1" x14ac:dyDescent="0.25">
      <c r="A37" s="17"/>
      <c r="B37" s="22"/>
      <c r="C37" s="4" t="s">
        <v>33</v>
      </c>
      <c r="D37" s="38"/>
      <c r="E37" s="39"/>
      <c r="F37" s="39"/>
      <c r="G37" s="46"/>
      <c r="H37" s="47"/>
    </row>
    <row r="38" spans="1:8" ht="47" customHeight="1" x14ac:dyDescent="0.2">
      <c r="A38" s="17"/>
      <c r="B38" s="18" t="s">
        <v>34</v>
      </c>
      <c r="C38" s="7" t="s">
        <v>35</v>
      </c>
      <c r="D38" s="30"/>
      <c r="E38" s="41"/>
      <c r="F38" s="41"/>
      <c r="G38" s="31"/>
      <c r="H38" s="48"/>
    </row>
    <row r="39" spans="1:8" ht="47" customHeight="1" x14ac:dyDescent="0.2">
      <c r="A39" s="17"/>
      <c r="B39" s="19"/>
      <c r="C39" s="8" t="s">
        <v>36</v>
      </c>
      <c r="D39" s="14"/>
      <c r="E39" s="16">
        <f>SUM(D38:D40)</f>
        <v>0</v>
      </c>
      <c r="F39" s="16" t="str">
        <f>IF(E39&gt;=2, "Acquis", "Non Acquis")</f>
        <v>Non Acquis</v>
      </c>
      <c r="G39" s="25"/>
      <c r="H39" s="49"/>
    </row>
    <row r="40" spans="1:8" ht="47" customHeight="1" thickBot="1" x14ac:dyDescent="0.25">
      <c r="A40" s="17"/>
      <c r="B40" s="20"/>
      <c r="C40" s="9" t="s">
        <v>37</v>
      </c>
      <c r="D40" s="32"/>
      <c r="E40" s="42"/>
      <c r="F40" s="42"/>
      <c r="G40" s="33"/>
      <c r="H40" s="50"/>
    </row>
    <row r="41" spans="1:8" ht="47" customHeight="1" x14ac:dyDescent="0.2">
      <c r="A41" s="17"/>
      <c r="B41" s="21" t="s">
        <v>38</v>
      </c>
      <c r="C41" s="3" t="s">
        <v>39</v>
      </c>
      <c r="D41" s="35">
        <v>1</v>
      </c>
      <c r="E41" s="36">
        <f>SUM(D41:D45)</f>
        <v>3</v>
      </c>
      <c r="F41" s="36" t="str">
        <f>IF(E41&gt;=3, "Acquis", "Non Acquis")</f>
        <v>Acquis</v>
      </c>
      <c r="G41" s="43"/>
      <c r="H41" s="44"/>
    </row>
    <row r="42" spans="1:8" ht="47" customHeight="1" x14ac:dyDescent="0.2">
      <c r="A42" s="17"/>
      <c r="B42" s="26"/>
      <c r="C42" s="2" t="s">
        <v>40</v>
      </c>
      <c r="D42" s="15">
        <v>1</v>
      </c>
      <c r="E42" s="27"/>
      <c r="F42" s="27"/>
      <c r="G42" s="23"/>
      <c r="H42" s="45"/>
    </row>
    <row r="43" spans="1:8" ht="40" customHeight="1" x14ac:dyDescent="0.2">
      <c r="A43" s="17"/>
      <c r="B43" s="26"/>
      <c r="C43" s="2" t="s">
        <v>41</v>
      </c>
      <c r="D43" s="15">
        <v>1</v>
      </c>
      <c r="E43" s="27"/>
      <c r="F43" s="27"/>
      <c r="G43" s="23"/>
      <c r="H43" s="45"/>
    </row>
    <row r="44" spans="1:8" ht="47" customHeight="1" x14ac:dyDescent="0.2">
      <c r="A44" s="17"/>
      <c r="B44" s="26"/>
      <c r="C44" s="2" t="s">
        <v>42</v>
      </c>
      <c r="D44" s="15"/>
      <c r="E44" s="27"/>
      <c r="F44" s="27"/>
      <c r="G44" s="23"/>
      <c r="H44" s="45"/>
    </row>
    <row r="45" spans="1:8" ht="34" customHeight="1" thickBot="1" x14ac:dyDescent="0.25">
      <c r="A45" s="17"/>
      <c r="B45" s="22"/>
      <c r="C45" s="4" t="s">
        <v>43</v>
      </c>
      <c r="D45" s="38"/>
      <c r="E45" s="39"/>
      <c r="F45" s="39"/>
      <c r="G45" s="46"/>
      <c r="H45" s="47"/>
    </row>
    <row r="48" spans="1:8" ht="35" customHeight="1" x14ac:dyDescent="0.2">
      <c r="A48" s="54" t="s">
        <v>51</v>
      </c>
      <c r="B48" s="54"/>
    </row>
    <row r="49" spans="1:8" x14ac:dyDescent="0.2">
      <c r="A49" s="52" t="s">
        <v>52</v>
      </c>
      <c r="B49" s="51"/>
      <c r="C49" s="51"/>
      <c r="D49" s="51"/>
      <c r="E49" s="51"/>
      <c r="F49" s="51"/>
      <c r="G49" s="51"/>
      <c r="H49" s="51"/>
    </row>
    <row r="50" spans="1:8" x14ac:dyDescent="0.2">
      <c r="A50" s="51"/>
      <c r="B50" s="51"/>
      <c r="C50" s="51"/>
      <c r="D50" s="51"/>
      <c r="E50" s="51"/>
      <c r="F50" s="51"/>
      <c r="G50" s="51"/>
      <c r="H50" s="51"/>
    </row>
    <row r="51" spans="1:8" x14ac:dyDescent="0.2">
      <c r="A51" s="51"/>
      <c r="B51" s="51"/>
      <c r="C51" s="51"/>
      <c r="D51" s="51"/>
      <c r="E51" s="51"/>
      <c r="F51" s="51"/>
      <c r="G51" s="51"/>
      <c r="H51" s="51"/>
    </row>
    <row r="52" spans="1:8" x14ac:dyDescent="0.2">
      <c r="A52" s="51"/>
      <c r="B52" s="51"/>
      <c r="C52" s="51"/>
      <c r="D52" s="51"/>
      <c r="E52" s="51"/>
      <c r="F52" s="51"/>
      <c r="G52" s="51"/>
      <c r="H52" s="51"/>
    </row>
    <row r="53" spans="1:8" x14ac:dyDescent="0.2">
      <c r="A53" s="51"/>
      <c r="B53" s="51"/>
      <c r="C53" s="51"/>
      <c r="D53" s="51"/>
      <c r="E53" s="51"/>
      <c r="F53" s="51"/>
      <c r="G53" s="51"/>
      <c r="H53" s="51"/>
    </row>
    <row r="54" spans="1:8" x14ac:dyDescent="0.2">
      <c r="A54" s="51"/>
      <c r="B54" s="51"/>
      <c r="C54" s="51"/>
      <c r="D54" s="51"/>
      <c r="E54" s="51"/>
      <c r="F54" s="51"/>
      <c r="G54" s="51"/>
      <c r="H54" s="51"/>
    </row>
    <row r="55" spans="1:8" ht="22" x14ac:dyDescent="0.3">
      <c r="A55" s="53" t="s">
        <v>53</v>
      </c>
    </row>
  </sheetData>
  <dataConsolidate/>
  <mergeCells count="37">
    <mergeCell ref="E41:E45"/>
    <mergeCell ref="A48:B48"/>
    <mergeCell ref="A49:H54"/>
    <mergeCell ref="E17:E20"/>
    <mergeCell ref="G34:G37"/>
    <mergeCell ref="H17:H20"/>
    <mergeCell ref="H29:H33"/>
    <mergeCell ref="H26:H28"/>
    <mergeCell ref="H34:H37"/>
    <mergeCell ref="G17:G20"/>
    <mergeCell ref="G21:G22"/>
    <mergeCell ref="G23:G25"/>
    <mergeCell ref="G26:G28"/>
    <mergeCell ref="G29:G33"/>
    <mergeCell ref="F17:F20"/>
    <mergeCell ref="E21:E22"/>
    <mergeCell ref="E26:E28"/>
    <mergeCell ref="E34:E37"/>
    <mergeCell ref="H41:H45"/>
    <mergeCell ref="F41:F45"/>
    <mergeCell ref="H23:H25"/>
    <mergeCell ref="H21:H22"/>
    <mergeCell ref="G38:G40"/>
    <mergeCell ref="G41:G45"/>
    <mergeCell ref="F21:F22"/>
    <mergeCell ref="F26:F28"/>
    <mergeCell ref="F34:F37"/>
    <mergeCell ref="H38:H40"/>
    <mergeCell ref="A17:A45"/>
    <mergeCell ref="B17:B20"/>
    <mergeCell ref="B21:B22"/>
    <mergeCell ref="B23:B25"/>
    <mergeCell ref="B41:B45"/>
    <mergeCell ref="B34:B37"/>
    <mergeCell ref="B38:B40"/>
    <mergeCell ref="B26:B28"/>
    <mergeCell ref="B29:B33"/>
  </mergeCells>
  <conditionalFormatting sqref="H16:H48 H55:H1048576">
    <cfRule type="colorScale" priority="5">
      <colorScale>
        <cfvo type="formula" val="$H$17"/>
        <cfvo type="max"/>
        <color theme="9" tint="0.79998168889431442"/>
        <color rgb="FFFFEF9C"/>
      </colorScale>
    </cfRule>
  </conditionalFormatting>
  <conditionalFormatting sqref="H17:H20">
    <cfRule type="colorScale" priority="4">
      <colorScale>
        <cfvo type="formula" val="&quot;Non Acquis&quot;"/>
        <cfvo type="formula" val="&quot;Acquis&quot;"/>
        <color theme="5" tint="0.39997558519241921"/>
        <color theme="9" tint="0.79998168889431442"/>
      </colorScale>
    </cfRule>
  </conditionalFormatting>
  <conditionalFormatting sqref="H17:H45">
    <cfRule type="containsText" dxfId="1" priority="1" operator="containsText" text="Non Acquis">
      <formula>NOT(ISERROR(SEARCH("Non Acquis",H17)))</formula>
    </cfRule>
    <cfRule type="containsText" dxfId="0" priority="2" operator="containsText" text="Acquis">
      <formula>NOT(ISERROR(SEARCH("Acquis",H17)))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1425BB-6D42-6B4D-8E4A-1D20DB58C033}">
          <x14:formula1>
            <xm:f>Feuil2!$A$4:$A$6</xm:f>
          </x14:formula1>
          <xm:sqref>G17:G20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9111-DC9D-A549-9AC0-0F24CEF063CD}">
  <dimension ref="A1:A6"/>
  <sheetViews>
    <sheetView workbookViewId="0">
      <selection activeCell="E12" sqref="E12"/>
    </sheetView>
  </sheetViews>
  <sheetFormatPr baseColWidth="10" defaultColWidth="11" defaultRowHeight="16" x14ac:dyDescent="0.2"/>
  <sheetData>
    <row r="1" spans="1:1" x14ac:dyDescent="0.2">
      <c r="A1" t="s">
        <v>44</v>
      </c>
    </row>
    <row r="2" spans="1:1" x14ac:dyDescent="0.2">
      <c r="A2" t="s">
        <v>45</v>
      </c>
    </row>
    <row r="4" spans="1:1" x14ac:dyDescent="0.2">
      <c r="A4" t="s">
        <v>48</v>
      </c>
    </row>
    <row r="5" spans="1:1" x14ac:dyDescent="0.2">
      <c r="A5" t="s">
        <v>49</v>
      </c>
    </row>
    <row r="6" spans="1:1" x14ac:dyDescent="0.2">
      <c r="A6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47123a-f006-4115-9e34-1e5f398484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BE7E912EEE749ABD0B9BC91438545" ma:contentTypeVersion="15" ma:contentTypeDescription="Crée un document." ma:contentTypeScope="" ma:versionID="1759e7219beb2b78674ea4f4985ee3aa">
  <xsd:schema xmlns:xsd="http://www.w3.org/2001/XMLSchema" xmlns:xs="http://www.w3.org/2001/XMLSchema" xmlns:p="http://schemas.microsoft.com/office/2006/metadata/properties" xmlns:ns2="1c47123a-f006-4115-9e34-1e5f398484e5" xmlns:ns3="54c737a7-b066-4ba8-854c-0a3a9edc7124" targetNamespace="http://schemas.microsoft.com/office/2006/metadata/properties" ma:root="true" ma:fieldsID="84d3777ac9bc3b733ae1e1f50bb9a691" ns2:_="" ns3:_="">
    <xsd:import namespace="1c47123a-f006-4115-9e34-1e5f398484e5"/>
    <xsd:import namespace="54c737a7-b066-4ba8-854c-0a3a9edc7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123a-f006-4115-9e34-1e5f39848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737a7-b066-4ba8-854c-0a3a9edc71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7FCBCC-3848-41ED-B019-E60C0117D5A2}">
  <ds:schemaRefs>
    <ds:schemaRef ds:uri="http://purl.org/dc/dcmitype/"/>
    <ds:schemaRef ds:uri="http://purl.org/dc/elements/1.1/"/>
    <ds:schemaRef ds:uri="54c737a7-b066-4ba8-854c-0a3a9edc7124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1c47123a-f006-4115-9e34-1e5f398484e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8DF574-E3F5-4149-8DC3-F1F5933ED280}"/>
</file>

<file path=customXml/itemProps3.xml><?xml version="1.0" encoding="utf-8"?>
<ds:datastoreItem xmlns:ds="http://schemas.openxmlformats.org/officeDocument/2006/customXml" ds:itemID="{8B8F1AF9-6B90-4F96-9C9A-36963ABEC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Bloc 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Mélodie BOTROS</dc:creator>
  <cp:keywords/>
  <dc:description/>
  <cp:lastModifiedBy>Mélodie BOTROS</cp:lastModifiedBy>
  <cp:revision/>
  <dcterms:created xsi:type="dcterms:W3CDTF">2025-10-02T16:37:00Z</dcterms:created>
  <dcterms:modified xsi:type="dcterms:W3CDTF">2025-12-03T14:56:26Z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2025-10-02T17:16:35Z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64f842fb-e641-469d-bb77-5edb40b099e3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50, 3, 0, 1</vt:lpwstr>
  </property>
  <property fmtid="{D5CDD505-2E9C-101B-9397-08002B2CF9AE}" pid="10" name="ContentTypeId">
    <vt:lpwstr>0x010100977BE7E912EEE749ABD0B9BC91438545</vt:lpwstr>
  </property>
  <property fmtid="{D5CDD505-2E9C-101B-9397-08002B2CF9AE}" pid="11" name="MediaServiceImageTags">
    <vt:lpwstr/>
  </property>
</Properties>
</file>